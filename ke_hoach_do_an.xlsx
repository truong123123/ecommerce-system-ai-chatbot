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 hoach (Gantt)" sheetId="1" state="visible" r:id="rId3"/>
    <sheet name="Checklist chi ti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<sst xmlns="http://schemas.openxmlformats.org/spreadsheetml/2006/main" count="153" uniqueCount="87">
  <si>
    <t xml:space="preserve">KE HOACH DO AN TOT NGHIEP - HE THONG QUAN LY BAN HANG TRUC TUYEN TICH HOP QUAN LY KHO</t>
  </si>
  <si>
    <t xml:space="preserve">Thoi gian: 20 tuan (1 hoc ky)  |  Nguoi thuc hien: Ca nhan  |  Cap nhat tien do bang cach to mau cot 'Thuc te' hoac ghi chu</t>
  </si>
  <si>
    <t xml:space="preserve">Cong viec</t>
  </si>
  <si>
    <t xml:space="preserve">GD</t>
  </si>
  <si>
    <t xml:space="preserve">Deliverable / Ket qua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</si>
  <si>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</si>
  <si>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</si>
  <si>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</si>
  <si>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</si>
  <si>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</si>
  <si>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</si>
  <si>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</si>
  <si>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</si>
  <si>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</si>
  <si>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</si>
  <si>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</si>
  <si>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</si>
  <si>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</si>
  <si>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</si>
  <si>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</si>
  <si>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</si>
  <si>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</si>
  <si>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</si>
  <si>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</si>
  <si>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</si>
  <si>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GIAI DOAN 1: PHAN TICH &amp; THIET KE</t>
  </si>
  <si>
    <t xml:space="preserve">Khao sat &amp; xac dinh yeu cau nghiep vu</t>
  </si>
  <si>
    <t xml:space="preserve">Tai lieu dac ta yeu cau (SRS)</t>
  </si>
  <si>
    <t xml:space="preserve">Thiet ke database (ERD) &amp; kien truc he thong</t>
  </si>
  <si>
    <t xml:space="preserve">So do ERD + kien truc tong quan</t>
  </si>
  <si>
    <t xml:space="preserve">Thiet ke API &amp; wireframe/UI (Figma)</t>
  </si>
  <si>
    <t xml:space="preserve">Ban thiet ke he thong hoan chinh</t>
  </si>
  <si>
    <t xml:space="preserve">GIAI DOAN 2: XAY DUNG BACKEND</t>
  </si>
  <si>
    <t xml:space="preserve">Setup project, DB, JWT + Refresh Token, RBAC</t>
  </si>
  <si>
    <t xml:space="preserve">Global Exception Handler, Validation, Logging, Swagger/OpenAPI</t>
  </si>
  <si>
    <t xml:space="preserve">Ha tang backend chuan chuyen nghiep</t>
  </si>
  <si>
    <t xml:space="preserve">Module san pham + danh muc + upload anh (Cloudinary/local)</t>
  </si>
  <si>
    <t xml:space="preserve">Module don hang + gio hang</t>
  </si>
  <si>
    <t xml:space="preserve">Module kho: nhap/xuat kho + transaction tru kho</t>
  </si>
  <si>
    <t xml:space="preserve">Xu ly dong thoi khi dat hang - diem nhan ky thuat</t>
  </si>
  <si>
    <t xml:space="preserve">Module kho nang cao: kiem ke, dieu chinh ton kho, canh bao ton thap, lich su giao dich</t>
  </si>
  <si>
    <t xml:space="preserve">Audit trail kho day du</t>
  </si>
  <si>
    <t xml:space="preserve">Tich hop thanh toan sandbox, hoan thien Swagger docs</t>
  </si>
  <si>
    <t xml:space="preserve">Backend hoan chinh, test qua Postman/Swagger</t>
  </si>
  <si>
    <t xml:space="preserve">GIAI DOAN 3: XAY DUNG FRONTEND</t>
  </si>
  <si>
    <t xml:space="preserve">Giao dien khach hang: trang chu, danh sach, chi tiet SP</t>
  </si>
  <si>
    <t xml:space="preserve">Gio hang, checkout, theo doi don hang</t>
  </si>
  <si>
    <t xml:space="preserve">Giao dien quan ly: san pham, kho, don hang</t>
  </si>
  <si>
    <t xml:space="preserve">Dashboard: doanh thu ngay/thang/nam, top 10 SP ban chay, top khach hang, ty le don hoan thanh/huy, bieu do ton kho</t>
  </si>
  <si>
    <t xml:space="preserve">Dashboard thong ke day du</t>
  </si>
  <si>
    <t xml:space="preserve">GIAI DOAN 4: KIEM THU, TOI UU &amp; DEPLOY</t>
  </si>
  <si>
    <t xml:space="preserve">Unit Test cac module chinh</t>
  </si>
  <si>
    <t xml:space="preserve">Integration Test</t>
  </si>
  <si>
    <t xml:space="preserve">Kiem thu API bang Postman + kiem thu bao mat co ban (phan quyen, JWT)</t>
  </si>
  <si>
    <t xml:space="preserve">Bao cao ket qua kiem thu bao mat</t>
  </si>
  <si>
    <t xml:space="preserve">Sua loi, toi uu hieu nang, deploy cloud</t>
  </si>
  <si>
    <t xml:space="preserve">San pham hoan thien, chay online</t>
  </si>
  <si>
    <t xml:space="preserve">GIAI DOAN 5: BAO CAO &amp; BAO VE</t>
  </si>
  <si>
    <t xml:space="preserve">Viet bao cao (co so ly thuyet, thiet ke, cai dat, kiem thu)</t>
  </si>
  <si>
    <t xml:space="preserve">Lam slide, kich ban demo, on cau hoi phan bien, chay thu demo</t>
  </si>
  <si>
    <t xml:space="preserve">Bao cao + slide + demo san sang</t>
  </si>
  <si>
    <t xml:space="preserve">Chu thich mau theo giai doan:</t>
  </si>
  <si>
    <t xml:space="preserve">  GD1</t>
  </si>
  <si>
    <t xml:space="preserve">PHAN TICH &amp; THIET KE</t>
  </si>
  <si>
    <t xml:space="preserve">  GD2</t>
  </si>
  <si>
    <t xml:space="preserve">XAY DUNG BACKEND</t>
  </si>
  <si>
    <t xml:space="preserve">  GD3</t>
  </si>
  <si>
    <t xml:space="preserve">XAY DUNG FRONTEND</t>
  </si>
  <si>
    <t xml:space="preserve">  GD4</t>
  </si>
  <si>
    <t xml:space="preserve">KIEM THU, TOI UU &amp; DEPLOY</t>
  </si>
  <si>
    <t xml:space="preserve">  GD5</t>
  </si>
  <si>
    <t xml:space="preserve">BAO CAO &amp; BAO VE</t>
  </si>
  <si>
    <t xml:space="preserve">STT</t>
  </si>
  <si>
    <t xml:space="preserve">Giai doan</t>
  </si>
  <si>
    <t xml:space="preserve">Tuan bat dau</t>
  </si>
  <si>
    <t xml:space="preserve">Tuan ket thuc</t>
  </si>
  <si>
    <t xml:space="preserve">So tuan</t>
  </si>
  <si>
    <t xml:space="preserve">Deliverable</t>
  </si>
  <si>
    <t xml:space="preserve">Trang thai</t>
  </si>
  <si>
    <t xml:space="preserve">Ghi chu</t>
  </si>
  <si>
    <t xml:space="preserve">GD1</t>
  </si>
  <si>
    <t xml:space="preserve">Chua bat dau</t>
  </si>
  <si>
    <t xml:space="preserve">GD2</t>
  </si>
  <si>
    <t xml:space="preserve">GD3</t>
  </si>
  <si>
    <t xml:space="preserve">GD4</t>
  </si>
  <si>
    <t xml:space="preserve">GD5</t>
  </si>
  <si>
    <t xml:space="preserve">TONG SO TUAN DU KIEN: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</si>
</sst>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9DC3E6"/>
      </patternFill>
    </fill>
    <fill>
      <patternFill patternType="solid">
        <fgColor rgb="FF4472C4"/>
        <bgColor rgb="FF2E75B6"/>
      </patternFill>
    </fill>
    <fill>
      <patternFill patternType="solid">
        <fgColor rgb="FF9DC3E6"/>
        <bgColor rgb="FFB7B7B7"/>
      </patternFill>
    </fill>
    <fill>
      <patternFill patternType="solid">
        <fgColor rgb="FF548235"/>
        <bgColor rgb="FF339966"/>
      </patternFill>
    </fill>
    <fill>
      <patternFill patternType="solid">
        <fgColor rgb="FFA9D18E"/>
        <bgColor rgb="FFB7B7B7"/>
      </patternFill>
    </fill>
    <fill>
      <patternFill patternType="solid">
        <fgColor rgb="FFBF8F00"/>
        <bgColor rgb="FFFF6600"/>
      </patternFill>
    </fill>
    <fill>
      <patternFill patternType="solid">
        <fgColor rgb="FFFFD966"/>
        <bgColor rgb="FFFFFF99"/>
      </patternFill>
    </fill>
    <fill>
      <patternFill patternType="solid">
        <fgColor rgb="FFC00000"/>
        <bgColor rgb="FF800000"/>
      </patternFill>
    </fill>
    <fill>
      <patternFill patternType="solid">
        <fgColor rgb="FFF4A6A6"/>
        <bgColor rgb="FFCFAADE"/>
      </patternFill>
    </fill>
    <fill>
      <patternFill patternType="solid">
        <fgColor rgb="FF7030A0"/>
        <bgColor rgb="FF993366"/>
      </patternFill>
    </fill>
    <fill>
      <patternFill patternType="solid">
        <fgColor rgb="FFCFAADE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7030A0"/>
      <rgbColor rgb="FFFFFFCC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4A6A6"/>
      <rgbColor rgb="FFCFAADE"/>
      <rgbColor rgb="FFFFD966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23" min="4" style="0" width="4.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customFormat="false" ht="19.5" hidden="false" customHeight="true" outlineLevel="0" collapsed="false">
      <c r="A5" s="5" t="s">
        <v>25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27.75" hidden="false" customHeight="true" outlineLevel="0" collapsed="false">
      <c r="A6" s="6" t="s">
        <v>26</v>
      </c>
      <c r="B6" s="7" t="n">
        <v>1</v>
      </c>
      <c r="C6" s="8" t="s">
        <v>27</v>
      </c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customFormat="false" ht="27.75" hidden="false" customHeight="true" outlineLevel="0" collapsed="false">
      <c r="A7" s="6" t="s">
        <v>28</v>
      </c>
      <c r="B7" s="7" t="n">
        <v>1</v>
      </c>
      <c r="C7" s="8" t="s">
        <v>29</v>
      </c>
      <c r="D7" s="10"/>
      <c r="E7" s="10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customFormat="false" ht="27.75" hidden="false" customHeight="true" outlineLevel="0" collapsed="false">
      <c r="A8" s="6" t="s">
        <v>30</v>
      </c>
      <c r="B8" s="7" t="n">
        <v>1</v>
      </c>
      <c r="C8" s="8" t="s">
        <v>31</v>
      </c>
      <c r="D8" s="10"/>
      <c r="E8" s="10"/>
      <c r="F8" s="10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customFormat="false" ht="19.5" hidden="false" customHeight="true" outlineLevel="0" collapsed="false">
      <c r="A9" s="11" t="s">
        <v>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customFormat="false" ht="27.75" hidden="false" customHeight="true" outlineLevel="0" collapsed="false">
      <c r="A10" s="6" t="s">
        <v>33</v>
      </c>
      <c r="B10" s="7" t="n">
        <v>2</v>
      </c>
      <c r="C10" s="8"/>
      <c r="D10" s="10"/>
      <c r="E10" s="10"/>
      <c r="F10" s="10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customFormat="false" ht="27.75" hidden="false" customHeight="true" outlineLevel="0" collapsed="false">
      <c r="A11" s="6" t="s">
        <v>34</v>
      </c>
      <c r="B11" s="7" t="n">
        <v>2</v>
      </c>
      <c r="C11" s="8" t="s">
        <v>35</v>
      </c>
      <c r="D11" s="10"/>
      <c r="E11" s="10"/>
      <c r="F11" s="10"/>
      <c r="G11" s="10"/>
      <c r="H11" s="10"/>
      <c r="I11" s="1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customFormat="false" ht="27.75" hidden="false" customHeight="true" outlineLevel="0" collapsed="false">
      <c r="A12" s="6" t="s">
        <v>36</v>
      </c>
      <c r="B12" s="7" t="n">
        <v>2</v>
      </c>
      <c r="C12" s="8"/>
      <c r="D12" s="10"/>
      <c r="E12" s="10"/>
      <c r="F12" s="10"/>
      <c r="G12" s="10"/>
      <c r="H12" s="10"/>
      <c r="I12" s="10"/>
      <c r="J12" s="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customFormat="false" ht="27.75" hidden="false" customHeight="true" outlineLevel="0" collapsed="false">
      <c r="A13" s="6" t="s">
        <v>37</v>
      </c>
      <c r="B13" s="7" t="n">
        <v>2</v>
      </c>
      <c r="C13" s="8"/>
      <c r="D13" s="10"/>
      <c r="E13" s="10"/>
      <c r="F13" s="10"/>
      <c r="G13" s="10"/>
      <c r="H13" s="10"/>
      <c r="I13" s="10"/>
      <c r="J13" s="10"/>
      <c r="K13" s="12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customFormat="false" ht="27.75" hidden="false" customHeight="true" outlineLevel="0" collapsed="false">
      <c r="A14" s="6" t="s">
        <v>38</v>
      </c>
      <c r="B14" s="7" t="n">
        <v>2</v>
      </c>
      <c r="C14" s="8" t="s">
        <v>39</v>
      </c>
      <c r="D14" s="10"/>
      <c r="E14" s="10"/>
      <c r="F14" s="10"/>
      <c r="G14" s="10"/>
      <c r="H14" s="10"/>
      <c r="I14" s="10"/>
      <c r="J14" s="10"/>
      <c r="K14" s="10"/>
      <c r="L14" s="1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customFormat="false" ht="27.75" hidden="false" customHeight="true" outlineLevel="0" collapsed="false">
      <c r="A15" s="6" t="s">
        <v>40</v>
      </c>
      <c r="B15" s="7" t="n">
        <v>2</v>
      </c>
      <c r="C15" s="8" t="s">
        <v>41</v>
      </c>
      <c r="D15" s="10"/>
      <c r="E15" s="10"/>
      <c r="F15" s="10"/>
      <c r="G15" s="10"/>
      <c r="H15" s="10"/>
      <c r="I15" s="10"/>
      <c r="J15" s="10"/>
      <c r="K15" s="10"/>
      <c r="L15" s="10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customFormat="false" ht="27.75" hidden="false" customHeight="true" outlineLevel="0" collapsed="false">
      <c r="A16" s="6" t="s">
        <v>42</v>
      </c>
      <c r="B16" s="7" t="n">
        <v>2</v>
      </c>
      <c r="C16" s="8" t="s">
        <v>43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2"/>
      <c r="O16" s="10"/>
      <c r="P16" s="10"/>
      <c r="Q16" s="10"/>
      <c r="R16" s="10"/>
      <c r="S16" s="10"/>
      <c r="T16" s="10"/>
      <c r="U16" s="10"/>
      <c r="V16" s="10"/>
      <c r="W16" s="10"/>
    </row>
    <row r="17" customFormat="false" ht="19.5" hidden="false" customHeight="true" outlineLevel="0" collapsed="false">
      <c r="A17" s="13" t="s">
        <v>44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customFormat="false" ht="27.75" hidden="false" customHeight="true" outlineLevel="0" collapsed="false">
      <c r="A18" s="6" t="s">
        <v>45</v>
      </c>
      <c r="B18" s="7" t="n">
        <v>3</v>
      </c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4"/>
      <c r="P18" s="10"/>
      <c r="Q18" s="10"/>
      <c r="R18" s="10"/>
      <c r="S18" s="10"/>
      <c r="T18" s="10"/>
      <c r="U18" s="10"/>
      <c r="V18" s="10"/>
      <c r="W18" s="10"/>
    </row>
    <row r="19" customFormat="false" ht="27.75" hidden="false" customHeight="true" outlineLevel="0" collapsed="false">
      <c r="A19" s="6" t="s">
        <v>46</v>
      </c>
      <c r="B19" s="7" t="n">
        <v>3</v>
      </c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4"/>
      <c r="Q19" s="10"/>
      <c r="R19" s="10"/>
      <c r="S19" s="10"/>
      <c r="T19" s="10"/>
      <c r="U19" s="10"/>
      <c r="V19" s="10"/>
      <c r="W19" s="10"/>
    </row>
    <row r="20" customFormat="false" ht="27.75" hidden="false" customHeight="true" outlineLevel="0" collapsed="false">
      <c r="A20" s="6" t="s">
        <v>47</v>
      </c>
      <c r="B20" s="7" t="n">
        <v>3</v>
      </c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4"/>
      <c r="R20" s="10"/>
      <c r="S20" s="10"/>
      <c r="T20" s="10"/>
      <c r="U20" s="10"/>
      <c r="V20" s="10"/>
      <c r="W20" s="10"/>
    </row>
    <row r="21" customFormat="false" ht="27.75" hidden="false" customHeight="true" outlineLevel="0" collapsed="false">
      <c r="A21" s="6" t="s">
        <v>48</v>
      </c>
      <c r="B21" s="7" t="n">
        <v>3</v>
      </c>
      <c r="C21" s="8" t="s">
        <v>49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4"/>
      <c r="S21" s="10"/>
      <c r="T21" s="10"/>
      <c r="U21" s="10"/>
      <c r="V21" s="10"/>
      <c r="W21" s="10"/>
    </row>
    <row r="22" customFormat="false" ht="19.5" hidden="false" customHeight="true" outlineLevel="0" collapsed="false">
      <c r="A22" s="15" t="s">
        <v>50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customFormat="false" ht="27.75" hidden="false" customHeight="true" outlineLevel="0" collapsed="false">
      <c r="A23" s="6" t="s">
        <v>51</v>
      </c>
      <c r="B23" s="7" t="n">
        <v>4</v>
      </c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6"/>
      <c r="T23" s="10"/>
      <c r="U23" s="10"/>
      <c r="V23" s="10"/>
      <c r="W23" s="10"/>
    </row>
    <row r="24" customFormat="false" ht="27.75" hidden="false" customHeight="true" outlineLevel="0" collapsed="false">
      <c r="A24" s="6" t="s">
        <v>52</v>
      </c>
      <c r="B24" s="7" t="n">
        <v>4</v>
      </c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6"/>
      <c r="U24" s="10"/>
      <c r="V24" s="10"/>
      <c r="W24" s="10"/>
    </row>
    <row r="25" customFormat="false" ht="27.75" hidden="false" customHeight="true" outlineLevel="0" collapsed="false">
      <c r="A25" s="6" t="s">
        <v>53</v>
      </c>
      <c r="B25" s="7" t="n">
        <v>4</v>
      </c>
      <c r="C25" s="8" t="s">
        <v>54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6"/>
      <c r="U25" s="10"/>
      <c r="V25" s="10"/>
      <c r="W25" s="10"/>
    </row>
    <row r="26" customFormat="false" ht="27.75" hidden="false" customHeight="true" outlineLevel="0" collapsed="false">
      <c r="A26" s="6" t="s">
        <v>55</v>
      </c>
      <c r="B26" s="7" t="n">
        <v>4</v>
      </c>
      <c r="C26" s="8" t="s">
        <v>56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6"/>
      <c r="V26" s="10"/>
      <c r="W26" s="10"/>
    </row>
    <row r="27" customFormat="false" ht="19.5" hidden="false" customHeight="true" outlineLevel="0" collapsed="false">
      <c r="A27" s="17" t="s">
        <v>57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customFormat="false" ht="27.75" hidden="false" customHeight="true" outlineLevel="0" collapsed="false">
      <c r="A28" s="6" t="s">
        <v>58</v>
      </c>
      <c r="B28" s="7" t="n">
        <v>5</v>
      </c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8"/>
      <c r="W28" s="10"/>
    </row>
    <row r="29" customFormat="false" ht="27.75" hidden="false" customHeight="true" outlineLevel="0" collapsed="false">
      <c r="A29" s="6" t="s">
        <v>59</v>
      </c>
      <c r="B29" s="7" t="n">
        <v>5</v>
      </c>
      <c r="C29" s="8" t="s">
        <v>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8"/>
    </row>
    <row r="31" customFormat="false" ht="15" hidden="false" customHeight="false" outlineLevel="0" collapsed="false">
      <c r="A31" s="19" t="s">
        <v>61</v>
      </c>
    </row>
    <row r="32" customFormat="false" ht="15" hidden="false" customHeight="false" outlineLevel="0" collapsed="false">
      <c r="A32" s="20" t="s">
        <v>62</v>
      </c>
      <c r="B32" s="21" t="s">
        <v>63</v>
      </c>
    </row>
    <row r="33" customFormat="false" ht="15" hidden="false" customHeight="false" outlineLevel="0" collapsed="false">
      <c r="A33" s="22" t="s">
        <v>64</v>
      </c>
      <c r="B33" s="21" t="s">
        <v>65</v>
      </c>
    </row>
    <row r="34" customFormat="false" ht="15" hidden="false" customHeight="false" outlineLevel="0" collapsed="false">
      <c r="A34" s="23" t="s">
        <v>66</v>
      </c>
      <c r="B34" s="21" t="s">
        <v>67</v>
      </c>
    </row>
    <row r="35" customFormat="false" ht="15" hidden="false" customHeight="false" outlineLevel="0" collapsed="false">
      <c r="A35" s="24" t="s">
        <v>68</v>
      </c>
      <c r="B35" s="21" t="s">
        <v>69</v>
      </c>
    </row>
    <row r="36" customFormat="false" ht="15" hidden="false" customHeight="false" outlineLevel="0" collapsed="false">
      <c r="A36" s="25" t="s">
        <v>70</v>
      </c>
      <c r="B36" s="21" t="s">
        <v>71</v>
      </c>
    </row>
  </sheetData>
  <mergeCells count="7">
    <mergeCell ref="A1:W1"/>
    <mergeCell ref="A2:W2"/>
    <mergeCell ref="A5:W5"/>
    <mergeCell ref="A9:W9"/>
    <mergeCell ref="A17:W17"/>
    <mergeCell ref="A22:W22"/>
    <mergeCell ref="A27:W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25.5" hidden="false" customHeight="true" outlineLevel="0" collapsed="false">
      <c r="A1" s="3" t="s">
        <v>72</v>
      </c>
      <c r="B1" s="3" t="s">
        <v>73</v>
      </c>
      <c r="C1" s="3" t="s">
        <v>2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customFormat="false" ht="25.5" hidden="false" customHeight="true" outlineLevel="0" collapsed="false">
      <c r="A2" s="6" t="n">
        <v>1</v>
      </c>
      <c r="B2" s="6" t="s">
        <v>80</v>
      </c>
      <c r="C2" s="26" t="s">
        <v>26</v>
      </c>
      <c r="D2" s="6" t="n">
        <v>1</v>
      </c>
      <c r="E2" s="6" t="n">
        <v>2</v>
      </c>
      <c r="F2" s="6" t="n">
        <f aca="false">E2-D2+1</f>
        <v>2</v>
      </c>
      <c r="G2" s="27" t="s">
        <v>27</v>
      </c>
      <c r="H2" s="6" t="s">
        <v>81</v>
      </c>
      <c r="I2" s="6"/>
    </row>
    <row r="3" customFormat="false" ht="25.5" hidden="false" customHeight="true" outlineLevel="0" collapsed="false">
      <c r="A3" s="6" t="n">
        <v>2</v>
      </c>
      <c r="B3" s="6" t="s">
        <v>80</v>
      </c>
      <c r="C3" s="26" t="s">
        <v>28</v>
      </c>
      <c r="D3" s="6" t="n">
        <v>3</v>
      </c>
      <c r="E3" s="6" t="n">
        <v>3</v>
      </c>
      <c r="F3" s="6" t="n">
        <f aca="false">E3-D3+1</f>
        <v>1</v>
      </c>
      <c r="G3" s="27" t="s">
        <v>29</v>
      </c>
      <c r="H3" s="6" t="s">
        <v>81</v>
      </c>
      <c r="I3" s="6"/>
    </row>
    <row r="4" customFormat="false" ht="25.5" hidden="false" customHeight="true" outlineLevel="0" collapsed="false">
      <c r="A4" s="6" t="n">
        <v>3</v>
      </c>
      <c r="B4" s="6" t="s">
        <v>80</v>
      </c>
      <c r="C4" s="26" t="s">
        <v>30</v>
      </c>
      <c r="D4" s="6" t="n">
        <v>4</v>
      </c>
      <c r="E4" s="6" t="n">
        <v>4</v>
      </c>
      <c r="F4" s="6" t="n">
        <f aca="false">E4-D4+1</f>
        <v>1</v>
      </c>
      <c r="G4" s="27" t="s">
        <v>31</v>
      </c>
      <c r="H4" s="6" t="s">
        <v>81</v>
      </c>
      <c r="I4" s="6"/>
    </row>
    <row r="5" customFormat="false" ht="25.5" hidden="false" customHeight="true" outlineLevel="0" collapsed="false">
      <c r="A5" s="6" t="n">
        <v>4</v>
      </c>
      <c r="B5" s="6" t="s">
        <v>82</v>
      </c>
      <c r="C5" s="26" t="s">
        <v>33</v>
      </c>
      <c r="D5" s="6" t="n">
        <v>5</v>
      </c>
      <c r="E5" s="6" t="n">
        <v>5</v>
      </c>
      <c r="F5" s="6" t="n">
        <f aca="false">E5-D5+1</f>
        <v>1</v>
      </c>
      <c r="G5" s="27"/>
      <c r="H5" s="6" t="s">
        <v>81</v>
      </c>
      <c r="I5" s="6"/>
    </row>
    <row r="6" customFormat="false" ht="25.5" hidden="false" customHeight="true" outlineLevel="0" collapsed="false">
      <c r="A6" s="6" t="n">
        <v>5</v>
      </c>
      <c r="B6" s="6" t="s">
        <v>82</v>
      </c>
      <c r="C6" s="26" t="s">
        <v>34</v>
      </c>
      <c r="D6" s="6" t="n">
        <v>6</v>
      </c>
      <c r="E6" s="6" t="n">
        <v>6</v>
      </c>
      <c r="F6" s="6" t="n">
        <f aca="false">E6-D6+1</f>
        <v>1</v>
      </c>
      <c r="G6" s="27" t="s">
        <v>35</v>
      </c>
      <c r="H6" s="6" t="s">
        <v>81</v>
      </c>
      <c r="I6" s="6"/>
    </row>
    <row r="7" customFormat="false" ht="25.5" hidden="false" customHeight="true" outlineLevel="0" collapsed="false">
      <c r="A7" s="6" t="n">
        <v>6</v>
      </c>
      <c r="B7" s="6" t="s">
        <v>82</v>
      </c>
      <c r="C7" s="26" t="s">
        <v>36</v>
      </c>
      <c r="D7" s="6" t="n">
        <v>7</v>
      </c>
      <c r="E7" s="6" t="n">
        <v>7</v>
      </c>
      <c r="F7" s="6" t="n">
        <f aca="false">E7-D7+1</f>
        <v>1</v>
      </c>
      <c r="G7" s="27"/>
      <c r="H7" s="6" t="s">
        <v>81</v>
      </c>
      <c r="I7" s="6"/>
    </row>
    <row r="8" customFormat="false" ht="25.5" hidden="false" customHeight="true" outlineLevel="0" collapsed="false">
      <c r="A8" s="6" t="n">
        <v>7</v>
      </c>
      <c r="B8" s="6" t="s">
        <v>82</v>
      </c>
      <c r="C8" s="26" t="s">
        <v>37</v>
      </c>
      <c r="D8" s="6" t="n">
        <v>8</v>
      </c>
      <c r="E8" s="6" t="n">
        <v>8</v>
      </c>
      <c r="F8" s="6" t="n">
        <f aca="false">E8-D8+1</f>
        <v>1</v>
      </c>
      <c r="G8" s="27"/>
      <c r="H8" s="6" t="s">
        <v>81</v>
      </c>
      <c r="I8" s="6"/>
    </row>
    <row r="9" customFormat="false" ht="25.5" hidden="false" customHeight="true" outlineLevel="0" collapsed="false">
      <c r="A9" s="6" t="n">
        <v>8</v>
      </c>
      <c r="B9" s="6" t="s">
        <v>82</v>
      </c>
      <c r="C9" s="26" t="s">
        <v>38</v>
      </c>
      <c r="D9" s="6" t="n">
        <v>9</v>
      </c>
      <c r="E9" s="6" t="n">
        <v>9</v>
      </c>
      <c r="F9" s="6" t="n">
        <f aca="false">E9-D9+1</f>
        <v>1</v>
      </c>
      <c r="G9" s="27" t="s">
        <v>39</v>
      </c>
      <c r="H9" s="6" t="s">
        <v>81</v>
      </c>
      <c r="I9" s="6"/>
    </row>
    <row r="10" customFormat="false" ht="25.5" hidden="false" customHeight="true" outlineLevel="0" collapsed="false">
      <c r="A10" s="6" t="n">
        <v>9</v>
      </c>
      <c r="B10" s="6" t="s">
        <v>82</v>
      </c>
      <c r="C10" s="26" t="s">
        <v>40</v>
      </c>
      <c r="D10" s="6" t="n">
        <v>10</v>
      </c>
      <c r="E10" s="6" t="n">
        <v>10</v>
      </c>
      <c r="F10" s="6" t="n">
        <f aca="false">E10-D10+1</f>
        <v>1</v>
      </c>
      <c r="G10" s="27" t="s">
        <v>41</v>
      </c>
      <c r="H10" s="6" t="s">
        <v>81</v>
      </c>
      <c r="I10" s="6"/>
    </row>
    <row r="11" customFormat="false" ht="25.5" hidden="false" customHeight="true" outlineLevel="0" collapsed="false">
      <c r="A11" s="6" t="n">
        <v>10</v>
      </c>
      <c r="B11" s="6" t="s">
        <v>82</v>
      </c>
      <c r="C11" s="26" t="s">
        <v>42</v>
      </c>
      <c r="D11" s="6" t="n">
        <v>11</v>
      </c>
      <c r="E11" s="6" t="n">
        <v>11</v>
      </c>
      <c r="F11" s="6" t="n">
        <f aca="false">E11-D11+1</f>
        <v>1</v>
      </c>
      <c r="G11" s="27" t="s">
        <v>43</v>
      </c>
      <c r="H11" s="6" t="s">
        <v>81</v>
      </c>
      <c r="I11" s="6"/>
    </row>
    <row r="12" customFormat="false" ht="25.5" hidden="false" customHeight="true" outlineLevel="0" collapsed="false">
      <c r="A12" s="6" t="n">
        <v>11</v>
      </c>
      <c r="B12" s="6" t="s">
        <v>83</v>
      </c>
      <c r="C12" s="26" t="s">
        <v>45</v>
      </c>
      <c r="D12" s="6" t="n">
        <v>12</v>
      </c>
      <c r="E12" s="6" t="n">
        <v>12</v>
      </c>
      <c r="F12" s="6" t="n">
        <f aca="false">E12-D12+1</f>
        <v>1</v>
      </c>
      <c r="G12" s="27"/>
      <c r="H12" s="6" t="s">
        <v>81</v>
      </c>
      <c r="I12" s="6"/>
    </row>
    <row r="13" customFormat="false" ht="25.5" hidden="false" customHeight="true" outlineLevel="0" collapsed="false">
      <c r="A13" s="6" t="n">
        <v>12</v>
      </c>
      <c r="B13" s="6" t="s">
        <v>83</v>
      </c>
      <c r="C13" s="26" t="s">
        <v>46</v>
      </c>
      <c r="D13" s="6" t="n">
        <v>13</v>
      </c>
      <c r="E13" s="6" t="n">
        <v>13</v>
      </c>
      <c r="F13" s="6" t="n">
        <f aca="false">E13-D13+1</f>
        <v>1</v>
      </c>
      <c r="G13" s="27"/>
      <c r="H13" s="6" t="s">
        <v>81</v>
      </c>
      <c r="I13" s="6"/>
    </row>
    <row r="14" customFormat="false" ht="25.5" hidden="false" customHeight="true" outlineLevel="0" collapsed="false">
      <c r="A14" s="6" t="n">
        <v>13</v>
      </c>
      <c r="B14" s="6" t="s">
        <v>83</v>
      </c>
      <c r="C14" s="26" t="s">
        <v>47</v>
      </c>
      <c r="D14" s="6" t="n">
        <v>14</v>
      </c>
      <c r="E14" s="6" t="n">
        <v>14</v>
      </c>
      <c r="F14" s="6" t="n">
        <f aca="false">E14-D14+1</f>
        <v>1</v>
      </c>
      <c r="G14" s="27"/>
      <c r="H14" s="6" t="s">
        <v>81</v>
      </c>
      <c r="I14" s="6"/>
    </row>
    <row r="15" customFormat="false" ht="25.5" hidden="false" customHeight="true" outlineLevel="0" collapsed="false">
      <c r="A15" s="6" t="n">
        <v>14</v>
      </c>
      <c r="B15" s="6" t="s">
        <v>83</v>
      </c>
      <c r="C15" s="26" t="s">
        <v>48</v>
      </c>
      <c r="D15" s="6" t="n">
        <v>15</v>
      </c>
      <c r="E15" s="6" t="n">
        <v>15</v>
      </c>
      <c r="F15" s="6" t="n">
        <f aca="false">E15-D15+1</f>
        <v>1</v>
      </c>
      <c r="G15" s="27" t="s">
        <v>49</v>
      </c>
      <c r="H15" s="6" t="s">
        <v>81</v>
      </c>
      <c r="I15" s="6"/>
    </row>
    <row r="16" customFormat="false" ht="25.5" hidden="false" customHeight="true" outlineLevel="0" collapsed="false">
      <c r="A16" s="6" t="n">
        <v>15</v>
      </c>
      <c r="B16" s="6" t="s">
        <v>84</v>
      </c>
      <c r="C16" s="26" t="s">
        <v>51</v>
      </c>
      <c r="D16" s="6" t="n">
        <v>16</v>
      </c>
      <c r="E16" s="6" t="n">
        <v>16</v>
      </c>
      <c r="F16" s="6" t="n">
        <f aca="false">E16-D16+1</f>
        <v>1</v>
      </c>
      <c r="G16" s="27"/>
      <c r="H16" s="6" t="s">
        <v>81</v>
      </c>
      <c r="I16" s="6"/>
    </row>
    <row r="17" customFormat="false" ht="25.5" hidden="false" customHeight="true" outlineLevel="0" collapsed="false">
      <c r="A17" s="6" t="n">
        <v>16</v>
      </c>
      <c r="B17" s="6" t="s">
        <v>84</v>
      </c>
      <c r="C17" s="26" t="s">
        <v>52</v>
      </c>
      <c r="D17" s="6" t="n">
        <v>17</v>
      </c>
      <c r="E17" s="6" t="n">
        <v>17</v>
      </c>
      <c r="F17" s="6" t="n">
        <f aca="false">E17-D17+1</f>
        <v>1</v>
      </c>
      <c r="G17" s="27"/>
      <c r="H17" s="6" t="s">
        <v>81</v>
      </c>
      <c r="I17" s="6"/>
    </row>
    <row r="18" customFormat="false" ht="25.5" hidden="false" customHeight="true" outlineLevel="0" collapsed="false">
      <c r="A18" s="6" t="n">
        <v>17</v>
      </c>
      <c r="B18" s="6" t="s">
        <v>84</v>
      </c>
      <c r="C18" s="26" t="s">
        <v>53</v>
      </c>
      <c r="D18" s="6" t="n">
        <v>17</v>
      </c>
      <c r="E18" s="6" t="n">
        <v>17</v>
      </c>
      <c r="F18" s="6" t="n">
        <f aca="false">E18-D18+1</f>
        <v>1</v>
      </c>
      <c r="G18" s="27" t="s">
        <v>54</v>
      </c>
      <c r="H18" s="6" t="s">
        <v>81</v>
      </c>
      <c r="I18" s="6"/>
    </row>
    <row r="19" customFormat="false" ht="25.5" hidden="false" customHeight="true" outlineLevel="0" collapsed="false">
      <c r="A19" s="6" t="n">
        <v>18</v>
      </c>
      <c r="B19" s="6" t="s">
        <v>84</v>
      </c>
      <c r="C19" s="26" t="s">
        <v>55</v>
      </c>
      <c r="D19" s="6" t="n">
        <v>18</v>
      </c>
      <c r="E19" s="6" t="n">
        <v>18</v>
      </c>
      <c r="F19" s="6" t="n">
        <f aca="false">E19-D19+1</f>
        <v>1</v>
      </c>
      <c r="G19" s="27" t="s">
        <v>56</v>
      </c>
      <c r="H19" s="6" t="s">
        <v>81</v>
      </c>
      <c r="I19" s="6"/>
    </row>
    <row r="20" customFormat="false" ht="25.5" hidden="false" customHeight="true" outlineLevel="0" collapsed="false">
      <c r="A20" s="6" t="n">
        <v>19</v>
      </c>
      <c r="B20" s="6" t="s">
        <v>85</v>
      </c>
      <c r="C20" s="26" t="s">
        <v>58</v>
      </c>
      <c r="D20" s="6" t="n">
        <v>19</v>
      </c>
      <c r="E20" s="6" t="n">
        <v>19</v>
      </c>
      <c r="F20" s="6" t="n">
        <f aca="false">E20-D20+1</f>
        <v>1</v>
      </c>
      <c r="G20" s="27"/>
      <c r="H20" s="6" t="s">
        <v>81</v>
      </c>
      <c r="I20" s="6"/>
    </row>
    <row r="21" customFormat="false" ht="25.5" hidden="false" customHeight="true" outlineLevel="0" collapsed="false">
      <c r="A21" s="6" t="n">
        <v>20</v>
      </c>
      <c r="B21" s="6" t="s">
        <v>85</v>
      </c>
      <c r="C21" s="26" t="s">
        <v>59</v>
      </c>
      <c r="D21" s="6" t="n">
        <v>20</v>
      </c>
      <c r="E21" s="6" t="n">
        <v>20</v>
      </c>
      <c r="F21" s="6" t="n">
        <f aca="false">E21-D21+1</f>
        <v>1</v>
      </c>
      <c r="G21" s="27" t="s">
        <v>60</v>
      </c>
      <c r="H21" s="6" t="s">
        <v>81</v>
      </c>
      <c r="I21" s="6"/>
    </row>
    <row r="23" customFormat="false" ht="15" hidden="false" customHeight="false" outlineLevel="0" collapsed="false">
      <c r="C23" s="19" t="s">
        <v>86</v>
      </c>
      <c r="F23" s="19" t="n">
        <f aca="false">SUM(F2:F21)</f>
        <v>21</v>
      </c>
    </row>
  </sheetData>
  <dataValidations count="1">
    <dataValidation allowBlank="true" errorStyle="stop" operator="between" showDropDown="false" showErrorMessage="false" showInputMessage="false" sqref="H2:H21" type="list">
      <formula1>"Chua bat dau,Dang lam,Hoan thanh,Tre tien 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2026-07-26T06:17:20Z</dcterms:created>
  <dc:creator>openpyxl</dc:creator>
  <dc:description/>
  <dc:language>en-US</dc:language>
  <cp:lastModifiedBy/>
  <dcterms:modified xsi:type="dcterms:W3CDTF">2026-07-26T06:17:20Z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